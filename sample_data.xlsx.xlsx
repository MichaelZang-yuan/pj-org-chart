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2d6806c80db48fe/Desktop/移民资料/"/>
    </mc:Choice>
  </mc:AlternateContent>
  <xr:revisionPtr revIDLastSave="0" documentId="8_{817B52EF-4CFD-4A1F-AE2D-4C7CC4F29A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Remuner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G37" i="1"/>
  <c r="H36" i="1"/>
  <c r="H35" i="1"/>
  <c r="H34" i="1"/>
  <c r="H33" i="1"/>
  <c r="H32" i="1"/>
  <c r="H31" i="1"/>
  <c r="G28" i="1"/>
  <c r="H27" i="1"/>
  <c r="H26" i="1"/>
  <c r="H25" i="1"/>
  <c r="H28" i="1" s="1"/>
  <c r="H24" i="1"/>
  <c r="G21" i="1"/>
  <c r="H20" i="1"/>
  <c r="H19" i="1"/>
  <c r="G16" i="1"/>
  <c r="G38" i="1" s="1"/>
  <c r="H15" i="1"/>
  <c r="H14" i="1"/>
  <c r="H13" i="1"/>
  <c r="H12" i="1"/>
  <c r="H11" i="1"/>
  <c r="H10" i="1"/>
  <c r="H9" i="1"/>
  <c r="H8" i="1"/>
  <c r="H16" i="1" s="1"/>
  <c r="H21" i="1" l="1"/>
  <c r="H38" i="1" s="1"/>
</calcChain>
</file>

<file path=xl/sharedStrings.xml><?xml version="1.0" encoding="utf-8"?>
<sst xmlns="http://schemas.openxmlformats.org/spreadsheetml/2006/main" count="99" uniqueCount="56">
  <si>
    <t>Employee Remuneration</t>
  </si>
  <si>
    <t>Auslink Limited</t>
  </si>
  <si>
    <t>As at 10 March 2026</t>
  </si>
  <si>
    <t>Employee</t>
  </si>
  <si>
    <t>Start Date</t>
  </si>
  <si>
    <t>Pay Frequency</t>
  </si>
  <si>
    <t>Hourly Rate</t>
  </si>
  <si>
    <t>Annual Salary</t>
  </si>
  <si>
    <t>Monthly Salary</t>
  </si>
  <si>
    <t>AKL</t>
  </si>
  <si>
    <t>Fletcher Meti</t>
  </si>
  <si>
    <t>Fortnightly</t>
  </si>
  <si>
    <t>Henry Nanai</t>
  </si>
  <si>
    <t>Pengfei Sun</t>
  </si>
  <si>
    <t>Seleni Bentley</t>
  </si>
  <si>
    <t>Weilin QIU</t>
  </si>
  <si>
    <t>William Reed</t>
  </si>
  <si>
    <t>XiaoSong Cai</t>
  </si>
  <si>
    <t>Zhicheng Peng</t>
  </si>
  <si>
    <t>Total AKL</t>
  </si>
  <si>
    <t>CHC</t>
  </si>
  <si>
    <t>Bowen Yang</t>
  </si>
  <si>
    <t>Giovani Lubaton</t>
  </si>
  <si>
    <t>Total CHC</t>
  </si>
  <si>
    <t>Forwarding</t>
  </si>
  <si>
    <t>Soojin Li</t>
  </si>
  <si>
    <t>Monthly</t>
  </si>
  <si>
    <t>Tian Tang</t>
  </si>
  <si>
    <t>Wan Wei</t>
  </si>
  <si>
    <t>Yuhan Jiang</t>
  </si>
  <si>
    <t>Total Forwarding</t>
  </si>
  <si>
    <t>Management</t>
  </si>
  <si>
    <t>Chao Zhang</t>
  </si>
  <si>
    <t>Mere-Ani Saimasi-Robertson</t>
  </si>
  <si>
    <t>Shuo Zhang</t>
  </si>
  <si>
    <t>Wenjing  Xu</t>
  </si>
  <si>
    <t>Xiaobo Yuan</t>
  </si>
  <si>
    <t>Xinyu  Huang</t>
  </si>
  <si>
    <t>Total Management</t>
  </si>
  <si>
    <t>Total</t>
  </si>
  <si>
    <t xml:space="preserve">Postion </t>
  </si>
  <si>
    <t>Inwards Coordinator</t>
  </si>
  <si>
    <t>Driver</t>
  </si>
  <si>
    <t>H&amp;S/ Invertory/QC</t>
  </si>
  <si>
    <t>Sales Rep</t>
  </si>
  <si>
    <t>Warehouse Operator</t>
  </si>
  <si>
    <t xml:space="preserve">Forwarding Operator </t>
  </si>
  <si>
    <t>Director</t>
  </si>
  <si>
    <t xml:space="preserve">Warehouse Manager </t>
  </si>
  <si>
    <t>Bookkeeper</t>
  </si>
  <si>
    <t>Forwarding Manager</t>
  </si>
  <si>
    <t xml:space="preserve">Finance Control </t>
  </si>
  <si>
    <t xml:space="preserve">Project Manager </t>
  </si>
  <si>
    <t xml:space="preserve">Citizen </t>
  </si>
  <si>
    <t>Work Visa</t>
  </si>
  <si>
    <t>Work Visa-Patner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</si>
</sst>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\ mmm\ yyyy"/>
    <numFmt numFmtId="169" formatCode="#,##0.00;\(#,##0.00\)"/>
  </numFmts>
  <fonts count="7">
    <font>
      <sz val="9"/>
      <color theme="1"/>
      <name val="Arial"/>
      <charset val="134"/>
    </font>
    <font>
      <sz val="14"/>
      <color theme="1"/>
      <name val="Arial"/>
      <charset val="134"/>
    </font>
    <font>
      <sz val="12"/>
      <color theme="1"/>
      <name val="Arial"/>
      <charset val="134"/>
    </font>
    <font>
      <sz val="10"/>
      <color theme="1"/>
      <name val="Arial"/>
      <charset val="134"/>
    </font>
    <font>
      <b/>
      <sz val="14"/>
      <color theme="1"/>
      <name val="Arial"/>
      <charset val="134"/>
    </font>
    <font>
      <b/>
      <sz val="10"/>
      <color theme="1"/>
      <name val="Arial"/>
      <charset val="134"/>
    </font>
    <font>
      <b/>
      <sz val="9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168" fontId="0" fillId="0" borderId="0" xfId="0" applyNumberFormat="1" applyAlignment="1">
      <alignment horizontal="left" vertical="center"/>
    </xf>
    <xf numFmtId="169" fontId="0" fillId="0" borderId="0" xfId="0" applyNumberFormat="1" applyAlignment="1">
      <alignment horizontal="right" vertical="center"/>
    </xf>
    <xf numFmtId="169" fontId="0" fillId="2" borderId="0" xfId="0" applyNumberFormat="1" applyFill="1" applyAlignment="1">
      <alignment horizontal="right" vertical="center"/>
    </xf>
    <xf numFmtId="0" fontId="0" fillId="0" borderId="2" xfId="0" applyBorder="1" applyAlignment="1">
      <alignment vertical="center"/>
    </xf>
    <xf numFmtId="168" fontId="0" fillId="0" borderId="2" xfId="0" applyNumberFormat="1" applyBorder="1" applyAlignment="1">
      <alignment horizontal="left" vertical="center"/>
    </xf>
    <xf numFmtId="169" fontId="0" fillId="0" borderId="2" xfId="0" applyNumberFormat="1" applyBorder="1" applyAlignment="1">
      <alignment horizontal="right" vertical="center"/>
    </xf>
    <xf numFmtId="169" fontId="0" fillId="2" borderId="2" xfId="0" applyNumberFormat="1" applyFill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169" fontId="6" fillId="0" borderId="2" xfId="0" applyNumberFormat="1" applyFont="1" applyBorder="1" applyAlignment="1">
      <alignment horizontal="right" vertical="center"/>
    </xf>
    <xf numFmtId="169" fontId="6" fillId="2" borderId="2" xfId="0" applyNumberFormat="1" applyFont="1" applyFill="1" applyBorder="1" applyAlignment="1">
      <alignment horizontal="right" vertical="center"/>
    </xf>
    <xf numFmtId="0" fontId="0" fillId="3" borderId="0" xfId="0" applyFill="1" applyAlignment="1">
      <alignment vertical="center"/>
    </xf>
    <xf numFmtId="168" fontId="0" fillId="3" borderId="0" xfId="0" applyNumberFormat="1" applyFill="1" applyAlignment="1">
      <alignment horizontal="left" vertical="center"/>
    </xf>
    <xf numFmtId="0" fontId="0" fillId="3" borderId="2" xfId="0" applyFill="1" applyBorder="1" applyAlignment="1">
      <alignment vertical="center"/>
    </xf>
    <xf numFmtId="168" fontId="0" fillId="3" borderId="2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showGridLines="0" tabSelected="1" workbookViewId="0">
      <selection activeCell="K28" sqref="K28"/>
    </sheetView>
  </sheetViews>
  <sheetFormatPr defaultColWidth="9" defaultRowHeight="11.4"/>
  <cols>
    <col min="1" max="1" width="27.375" customWidth="1"/>
    <col min="2" max="2" width="12.875" customWidth="1"/>
    <col min="3" max="4" width="20" customWidth="1"/>
    <col min="5" max="5" width="17" customWidth="1"/>
    <col min="6" max="6" width="14.375" customWidth="1"/>
    <col min="7" max="7" width="16.5" customWidth="1"/>
    <col min="8" max="8" width="16.5" style="4" customWidth="1"/>
  </cols>
  <sheetData>
    <row r="1" spans="1:8" s="1" customFormat="1" ht="16.649999999999999" customHeight="1">
      <c r="A1" s="5" t="s">
        <v>0</v>
      </c>
      <c r="B1" s="5"/>
      <c r="C1" s="5"/>
      <c r="D1" s="5"/>
      <c r="E1" s="5"/>
      <c r="F1" s="5"/>
      <c r="G1" s="5"/>
      <c r="H1" s="6"/>
    </row>
    <row r="2" spans="1:8" s="2" customFormat="1" ht="14.4" customHeight="1">
      <c r="A2" s="7" t="s">
        <v>1</v>
      </c>
      <c r="B2" s="7"/>
      <c r="C2" s="7"/>
      <c r="D2" s="7"/>
      <c r="E2" s="7"/>
      <c r="F2" s="7"/>
      <c r="G2" s="7"/>
      <c r="H2" s="8"/>
    </row>
    <row r="3" spans="1:8" s="2" customFormat="1" ht="14.4" customHeight="1">
      <c r="A3" s="7" t="s">
        <v>2</v>
      </c>
      <c r="B3" s="7"/>
      <c r="C3" s="7"/>
      <c r="D3" s="7"/>
      <c r="E3" s="7"/>
      <c r="F3" s="7"/>
      <c r="G3" s="7"/>
      <c r="H3" s="8"/>
    </row>
    <row r="4" spans="1:8" ht="13.35" customHeight="1"/>
    <row r="5" spans="1:8" s="3" customFormat="1" ht="12.15" customHeight="1">
      <c r="A5" s="9" t="s">
        <v>3</v>
      </c>
      <c r="B5" s="9" t="s">
        <v>4</v>
      </c>
      <c r="C5" s="9" t="s">
        <v>40</v>
      </c>
      <c r="D5" s="9"/>
      <c r="E5" s="9" t="s">
        <v>5</v>
      </c>
      <c r="F5" s="10" t="s">
        <v>6</v>
      </c>
      <c r="G5" s="10" t="s">
        <v>7</v>
      </c>
      <c r="H5" s="11" t="s">
        <v>8</v>
      </c>
    </row>
    <row r="6" spans="1:8" ht="13.35" customHeight="1"/>
    <row r="7" spans="1:8" s="3" customFormat="1" ht="12.15" customHeight="1">
      <c r="A7" s="12" t="s">
        <v>9</v>
      </c>
      <c r="B7" s="12"/>
      <c r="C7" s="12"/>
      <c r="D7" s="12"/>
      <c r="E7" s="12"/>
      <c r="F7" s="12"/>
      <c r="G7" s="12"/>
      <c r="H7" s="13"/>
    </row>
    <row r="8" spans="1:8" ht="10.95" customHeight="1">
      <c r="A8" s="14" t="s">
        <v>10</v>
      </c>
      <c r="B8" s="15">
        <v>45950</v>
      </c>
      <c r="C8" s="14" t="s">
        <v>45</v>
      </c>
      <c r="D8" s="14" t="s">
        <v>53</v>
      </c>
      <c r="E8" s="14" t="s">
        <v>11</v>
      </c>
      <c r="F8" s="16">
        <v>25</v>
      </c>
      <c r="G8" s="16">
        <v>52000</v>
      </c>
      <c r="H8" s="17">
        <f>G8/12</f>
        <v>4333.333333333333</v>
      </c>
    </row>
    <row r="9" spans="1:8" ht="10.95" customHeight="1">
      <c r="A9" s="18" t="s">
        <v>12</v>
      </c>
      <c r="B9" s="19">
        <v>45948</v>
      </c>
      <c r="C9" s="18" t="s">
        <v>41</v>
      </c>
      <c r="D9" s="18" t="s">
        <v>53</v>
      </c>
      <c r="E9" s="18" t="s">
        <v>11</v>
      </c>
      <c r="F9" s="20">
        <v>31.25</v>
      </c>
      <c r="G9" s="20">
        <v>65000</v>
      </c>
      <c r="H9" s="21">
        <f t="shared" ref="H9:H15" si="0">G9/12</f>
        <v>5416.666666666667</v>
      </c>
    </row>
    <row r="10" spans="1:8" ht="10.95" customHeight="1">
      <c r="A10" s="18" t="s">
        <v>13</v>
      </c>
      <c r="B10" s="19">
        <v>45968</v>
      </c>
      <c r="C10" s="18" t="s">
        <v>42</v>
      </c>
      <c r="D10" s="18" t="s">
        <v>53</v>
      </c>
      <c r="E10" s="18" t="s">
        <v>11</v>
      </c>
      <c r="F10" s="20">
        <v>30</v>
      </c>
      <c r="G10" s="20">
        <v>62400</v>
      </c>
      <c r="H10" s="21">
        <f t="shared" si="0"/>
        <v>5200</v>
      </c>
    </row>
    <row r="11" spans="1:8" ht="10.95" customHeight="1">
      <c r="A11" s="18" t="s">
        <v>14</v>
      </c>
      <c r="B11" s="19">
        <v>45950</v>
      </c>
      <c r="C11" s="18" t="s">
        <v>45</v>
      </c>
      <c r="D11" s="18" t="s">
        <v>53</v>
      </c>
      <c r="E11" s="18" t="s">
        <v>11</v>
      </c>
      <c r="F11" s="20">
        <v>26</v>
      </c>
      <c r="G11" s="20">
        <v>54080</v>
      </c>
      <c r="H11" s="21">
        <f t="shared" si="0"/>
        <v>4506.666666666667</v>
      </c>
    </row>
    <row r="12" spans="1:8" ht="10.95" customHeight="1">
      <c r="A12" s="18" t="s">
        <v>15</v>
      </c>
      <c r="B12" s="19">
        <v>45948</v>
      </c>
      <c r="C12" s="18" t="s">
        <v>45</v>
      </c>
      <c r="D12" s="18" t="s">
        <v>53</v>
      </c>
      <c r="E12" s="18" t="s">
        <v>11</v>
      </c>
      <c r="F12" s="20">
        <v>32.4</v>
      </c>
      <c r="G12" s="20">
        <v>67392</v>
      </c>
      <c r="H12" s="21">
        <f t="shared" si="0"/>
        <v>5616</v>
      </c>
    </row>
    <row r="13" spans="1:8" ht="10.95" customHeight="1">
      <c r="A13" s="18" t="s">
        <v>16</v>
      </c>
      <c r="B13" s="19">
        <v>45950</v>
      </c>
      <c r="C13" s="18" t="s">
        <v>45</v>
      </c>
      <c r="D13" s="18" t="s">
        <v>53</v>
      </c>
      <c r="E13" s="18" t="s">
        <v>11</v>
      </c>
      <c r="F13" s="20">
        <v>25</v>
      </c>
      <c r="G13" s="20">
        <v>52000</v>
      </c>
      <c r="H13" s="21">
        <f t="shared" si="0"/>
        <v>4333.333333333333</v>
      </c>
    </row>
    <row r="14" spans="1:8" ht="10.95" customHeight="1">
      <c r="A14" s="18" t="s">
        <v>17</v>
      </c>
      <c r="B14" s="19">
        <v>45950</v>
      </c>
      <c r="C14" s="18" t="s">
        <v>45</v>
      </c>
      <c r="D14" s="18" t="s">
        <v>53</v>
      </c>
      <c r="E14" s="18" t="s">
        <v>11</v>
      </c>
      <c r="F14" s="20">
        <v>26.5</v>
      </c>
      <c r="G14" s="20">
        <v>55120</v>
      </c>
      <c r="H14" s="21">
        <f t="shared" si="0"/>
        <v>4593.333333333333</v>
      </c>
    </row>
    <row r="15" spans="1:8" ht="10.95" customHeight="1">
      <c r="A15" s="18" t="s">
        <v>18</v>
      </c>
      <c r="B15" s="19">
        <v>45950</v>
      </c>
      <c r="C15" s="18" t="s">
        <v>43</v>
      </c>
      <c r="D15" s="18" t="s">
        <v>53</v>
      </c>
      <c r="E15" s="18" t="s">
        <v>11</v>
      </c>
      <c r="F15" s="20">
        <v>26.5</v>
      </c>
      <c r="G15" s="20">
        <v>55120</v>
      </c>
      <c r="H15" s="21">
        <f t="shared" si="0"/>
        <v>4593.333333333333</v>
      </c>
    </row>
    <row r="16" spans="1:8" ht="10.95" customHeight="1">
      <c r="A16" s="22" t="s">
        <v>19</v>
      </c>
      <c r="B16" s="22"/>
      <c r="C16" s="22"/>
      <c r="D16" s="22"/>
      <c r="E16" s="22"/>
      <c r="F16" s="22"/>
      <c r="G16" s="23">
        <f>SUM(G8:G15)</f>
        <v>463112</v>
      </c>
      <c r="H16" s="24">
        <f>SUM(H8:H15)</f>
        <v>38592.666666666672</v>
      </c>
    </row>
    <row r="17" spans="1:8" ht="13.35" customHeight="1"/>
    <row r="18" spans="1:8" s="3" customFormat="1" ht="12.15" customHeight="1">
      <c r="A18" s="12" t="s">
        <v>20</v>
      </c>
      <c r="B18" s="12"/>
      <c r="C18" s="12"/>
      <c r="D18" s="12"/>
      <c r="E18" s="12"/>
      <c r="F18" s="12"/>
      <c r="G18" s="12"/>
      <c r="H18" s="13"/>
    </row>
    <row r="19" spans="1:8" ht="10.95" customHeight="1">
      <c r="A19" s="14" t="s">
        <v>21</v>
      </c>
      <c r="B19" s="15">
        <v>45943</v>
      </c>
      <c r="C19" s="14" t="s">
        <v>44</v>
      </c>
      <c r="D19" s="14" t="s">
        <v>53</v>
      </c>
      <c r="E19" s="14" t="s">
        <v>11</v>
      </c>
      <c r="F19" s="16">
        <v>28.8462</v>
      </c>
      <c r="G19" s="16">
        <v>60000</v>
      </c>
      <c r="H19" s="21">
        <f t="shared" ref="H19:H25" si="1">G19/12</f>
        <v>5000</v>
      </c>
    </row>
    <row r="20" spans="1:8" ht="10.95" customHeight="1">
      <c r="A20" s="18" t="s">
        <v>22</v>
      </c>
      <c r="B20" s="19">
        <v>45950</v>
      </c>
      <c r="C20" s="18" t="s">
        <v>45</v>
      </c>
      <c r="D20" s="18" t="s">
        <v>53</v>
      </c>
      <c r="E20" s="18" t="s">
        <v>11</v>
      </c>
      <c r="F20" s="20">
        <v>32.5792</v>
      </c>
      <c r="G20" s="20">
        <v>72000</v>
      </c>
      <c r="H20" s="21">
        <f t="shared" si="1"/>
        <v>6000</v>
      </c>
    </row>
    <row r="21" spans="1:8" ht="10.95" customHeight="1">
      <c r="A21" s="22" t="s">
        <v>23</v>
      </c>
      <c r="B21" s="22"/>
      <c r="C21" s="22"/>
      <c r="D21" s="22"/>
      <c r="E21" s="22"/>
      <c r="F21" s="22"/>
      <c r="G21" s="23">
        <f>SUM(G19:G20)</f>
        <v>132000</v>
      </c>
      <c r="H21" s="24">
        <f>SUM(H13:H20)</f>
        <v>63112.666666666672</v>
      </c>
    </row>
    <row r="22" spans="1:8" ht="13.35" customHeight="1"/>
    <row r="23" spans="1:8" s="3" customFormat="1" ht="12.15" customHeight="1">
      <c r="A23" s="12" t="s">
        <v>24</v>
      </c>
      <c r="B23" s="12"/>
      <c r="C23" s="12"/>
      <c r="D23" s="12"/>
      <c r="E23" s="12"/>
      <c r="F23" s="12"/>
      <c r="G23" s="12"/>
      <c r="H23" s="13"/>
    </row>
    <row r="24" spans="1:8" ht="10.95" customHeight="1">
      <c r="A24" s="25" t="s">
        <v>25</v>
      </c>
      <c r="B24" s="26">
        <v>45962</v>
      </c>
      <c r="C24" s="25" t="s">
        <v>46</v>
      </c>
      <c r="D24" s="25" t="s">
        <v>54</v>
      </c>
      <c r="E24" s="25" t="s">
        <v>26</v>
      </c>
      <c r="F24" s="16">
        <v>38.461500000000001</v>
      </c>
      <c r="G24" s="16">
        <v>80000</v>
      </c>
      <c r="H24" s="21">
        <f t="shared" si="1"/>
        <v>6666.666666666667</v>
      </c>
    </row>
    <row r="25" spans="1:8" ht="10.95" customHeight="1">
      <c r="A25" s="18" t="s">
        <v>27</v>
      </c>
      <c r="B25" s="19">
        <v>45992</v>
      </c>
      <c r="C25" s="18" t="s">
        <v>46</v>
      </c>
      <c r="D25" s="18" t="s">
        <v>53</v>
      </c>
      <c r="E25" s="18" t="s">
        <v>26</v>
      </c>
      <c r="F25" s="20">
        <v>32.666699999999999</v>
      </c>
      <c r="G25" s="20">
        <v>50960</v>
      </c>
      <c r="H25" s="21">
        <f t="shared" si="1"/>
        <v>4246.666666666667</v>
      </c>
    </row>
    <row r="26" spans="1:8" ht="10.95" customHeight="1">
      <c r="A26" s="27" t="s">
        <v>28</v>
      </c>
      <c r="B26" s="28">
        <v>45962</v>
      </c>
      <c r="C26" s="27" t="s">
        <v>46</v>
      </c>
      <c r="D26" s="27" t="s">
        <v>54</v>
      </c>
      <c r="E26" s="27" t="s">
        <v>26</v>
      </c>
      <c r="F26" s="20">
        <v>33.653799999999997</v>
      </c>
      <c r="G26" s="20">
        <v>70000</v>
      </c>
      <c r="H26" s="21">
        <f t="shared" ref="H26:H34" si="2">G26/12</f>
        <v>5833.333333333333</v>
      </c>
    </row>
    <row r="27" spans="1:8" ht="10.95" customHeight="1">
      <c r="A27" s="18" t="s">
        <v>29</v>
      </c>
      <c r="B27" s="19">
        <v>45931</v>
      </c>
      <c r="C27" s="18" t="s">
        <v>44</v>
      </c>
      <c r="D27" s="18" t="s">
        <v>53</v>
      </c>
      <c r="E27" s="18" t="s">
        <v>26</v>
      </c>
      <c r="F27" s="20">
        <v>38.461500000000001</v>
      </c>
      <c r="G27" s="20">
        <v>80000</v>
      </c>
      <c r="H27" s="21">
        <f t="shared" si="2"/>
        <v>6666.666666666667</v>
      </c>
    </row>
    <row r="28" spans="1:8" ht="10.95" customHeight="1">
      <c r="A28" s="22" t="s">
        <v>30</v>
      </c>
      <c r="B28" s="22"/>
      <c r="C28" s="22"/>
      <c r="D28" s="22"/>
      <c r="E28" s="22"/>
      <c r="F28" s="22"/>
      <c r="G28" s="23">
        <f>SUM(G24:G27)</f>
        <v>280960</v>
      </c>
      <c r="H28" s="24">
        <f>SUM(H24:H27)</f>
        <v>23413.333333333336</v>
      </c>
    </row>
    <row r="29" spans="1:8" ht="13.35" customHeight="1"/>
    <row r="30" spans="1:8" s="3" customFormat="1" ht="12.15" customHeight="1">
      <c r="A30" s="12" t="s">
        <v>31</v>
      </c>
      <c r="B30" s="12"/>
      <c r="C30" s="12"/>
      <c r="D30" s="12"/>
      <c r="E30" s="12"/>
      <c r="F30" s="12"/>
      <c r="G30" s="12"/>
      <c r="H30" s="13"/>
    </row>
    <row r="31" spans="1:8" ht="10.95" customHeight="1">
      <c r="A31" s="14" t="s">
        <v>32</v>
      </c>
      <c r="B31" s="15">
        <v>45931</v>
      </c>
      <c r="C31" s="14" t="s">
        <v>47</v>
      </c>
      <c r="D31" s="14" t="s">
        <v>53</v>
      </c>
      <c r="E31" s="14" t="s">
        <v>26</v>
      </c>
      <c r="F31" s="16">
        <v>67.307699999999997</v>
      </c>
      <c r="G31" s="16">
        <v>140000</v>
      </c>
      <c r="H31" s="21">
        <f t="shared" si="2"/>
        <v>11666.666666666666</v>
      </c>
    </row>
    <row r="32" spans="1:8" ht="10.95" customHeight="1">
      <c r="A32" s="18" t="s">
        <v>33</v>
      </c>
      <c r="B32" s="19">
        <v>45950</v>
      </c>
      <c r="C32" s="18" t="s">
        <v>48</v>
      </c>
      <c r="D32" s="18" t="s">
        <v>53</v>
      </c>
      <c r="E32" s="18" t="s">
        <v>26</v>
      </c>
      <c r="F32" s="20">
        <v>40.865400000000001</v>
      </c>
      <c r="G32" s="20">
        <v>85000</v>
      </c>
      <c r="H32" s="21">
        <f t="shared" si="2"/>
        <v>7083.333333333333</v>
      </c>
    </row>
    <row r="33" spans="1:8" ht="10.95" customHeight="1">
      <c r="A33" s="18" t="s">
        <v>34</v>
      </c>
      <c r="B33" s="19">
        <v>46055</v>
      </c>
      <c r="C33" s="18" t="s">
        <v>49</v>
      </c>
      <c r="D33" s="18" t="s">
        <v>55</v>
      </c>
      <c r="E33" s="18" t="s">
        <v>26</v>
      </c>
      <c r="F33" s="20">
        <v>38.461500000000001</v>
      </c>
      <c r="G33" s="20">
        <v>60000</v>
      </c>
      <c r="H33" s="21">
        <f t="shared" si="2"/>
        <v>5000</v>
      </c>
    </row>
    <row r="34" spans="1:8" ht="10.95" customHeight="1">
      <c r="A34" s="18" t="s">
        <v>35</v>
      </c>
      <c r="B34" s="19">
        <v>45962</v>
      </c>
      <c r="C34" s="18" t="s">
        <v>50</v>
      </c>
      <c r="D34" s="18" t="s">
        <v>53</v>
      </c>
      <c r="E34" s="18" t="s">
        <v>26</v>
      </c>
      <c r="F34" s="20">
        <v>43.269199999999998</v>
      </c>
      <c r="G34" s="20">
        <v>90000</v>
      </c>
      <c r="H34" s="21">
        <f t="shared" si="2"/>
        <v>7500</v>
      </c>
    </row>
    <row r="35" spans="1:8" ht="10.95" customHeight="1">
      <c r="A35" s="18" t="s">
        <v>36</v>
      </c>
      <c r="B35" s="19">
        <v>45948</v>
      </c>
      <c r="C35" s="18" t="s">
        <v>52</v>
      </c>
      <c r="D35" s="18" t="s">
        <v>53</v>
      </c>
      <c r="E35" s="18" t="s">
        <v>26</v>
      </c>
      <c r="F35" s="20">
        <v>38.461500000000001</v>
      </c>
      <c r="G35" s="20">
        <v>80000</v>
      </c>
      <c r="H35" s="21">
        <f>G35/12</f>
        <v>6666.666666666667</v>
      </c>
    </row>
    <row r="36" spans="1:8" ht="10.95" customHeight="1">
      <c r="A36" s="18" t="s">
        <v>37</v>
      </c>
      <c r="B36" s="19">
        <v>45931</v>
      </c>
      <c r="C36" s="18" t="s">
        <v>51</v>
      </c>
      <c r="D36" s="18" t="s">
        <v>53</v>
      </c>
      <c r="E36" s="18" t="s">
        <v>26</v>
      </c>
      <c r="F36" s="20">
        <v>40.865400000000001</v>
      </c>
      <c r="G36" s="20">
        <v>85000</v>
      </c>
      <c r="H36" s="21">
        <f>G36/12</f>
        <v>7083.333333333333</v>
      </c>
    </row>
    <row r="37" spans="1:8" ht="10.95" customHeight="1">
      <c r="A37" s="22" t="s">
        <v>38</v>
      </c>
      <c r="B37" s="22"/>
      <c r="C37" s="22"/>
      <c r="D37" s="22"/>
      <c r="E37" s="22"/>
      <c r="F37" s="22"/>
      <c r="G37" s="23">
        <f>SUM(G31:G36)</f>
        <v>540000</v>
      </c>
      <c r="H37" s="24">
        <f>SUM(H31:H36)</f>
        <v>45000</v>
      </c>
    </row>
    <row r="38" spans="1:8" ht="10.95" customHeight="1">
      <c r="A38" s="18" t="s">
        <v>39</v>
      </c>
      <c r="B38" s="18"/>
      <c r="C38" s="18"/>
      <c r="D38" s="18"/>
      <c r="E38" s="18"/>
      <c r="F38" s="20">
        <v>0</v>
      </c>
      <c r="G38" s="20">
        <f>SUM(G16,G21,G28,G37)</f>
        <v>1416072</v>
      </c>
      <c r="H38" s="21">
        <f>SUM(H16,H21,H28,H37)</f>
        <v>170118.66666666669</v>
      </c>
    </row>
  </sheetData>
  <pageMargins left="0.7" right="0.7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Remuneration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Chao</dc:creator>
  <cp:lastModifiedBy>Zhang Chao</cp:lastModifiedBy>
  <dcterms:created xsi:type="dcterms:W3CDTF">2026-03-10T00:48:43Z</dcterms:created>
  <dcterms:modified xsi:type="dcterms:W3CDTF">2026-03-15T09:25:12Z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08101E8B31C444A5AB4D76AC5CF04C36_12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